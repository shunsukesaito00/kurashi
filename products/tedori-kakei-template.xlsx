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手取り試算" sheetId="2" state="visible" r:id="rId2"/>
    <sheet name="手取り比較" sheetId="3" state="visible" r:id="rId3"/>
    <sheet name="家計サマリ" sheetId="4" state="visible" r:id="rId4"/>
    <sheet name="積立メモ" sheetId="5" state="visible" r:id="rId5"/>
    <sheet name="年間俯瞰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1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sz val="10"/>
    </font>
    <font>
      <b val="1"/>
      <sz val="10"/>
    </font>
    <font>
      <color rgb="000563C1"/>
      <sz val="10"/>
      <u val="single"/>
    </font>
    <font>
      <color rgb="00666666"/>
      <sz val="9"/>
    </font>
    <font>
      <color rgb="00444444"/>
    </font>
    <font>
      <b val="1"/>
      <sz val="12"/>
    </font>
    <font>
      <b val="1"/>
    </font>
    <font>
      <b val="1"/>
      <color rgb="00333333"/>
      <sz val="11"/>
    </font>
  </fonts>
  <fills count="4">
    <fill>
      <patternFill/>
    </fill>
    <fill>
      <patternFill patternType="gray125"/>
    </fill>
    <fill>
      <patternFill patternType="solid">
        <fgColor rgb="00F0F4F8"/>
      </patternFill>
    </fill>
    <fill>
      <patternFill patternType="solid">
        <fgColor rgb="00E8F4E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4" fillId="2" borderId="1" applyAlignment="1" pivotButton="0" quotePrefix="0" xfId="0">
      <alignment horizontal="center"/>
    </xf>
    <xf numFmtId="3" fontId="3" fillId="0" borderId="1" pivotButton="0" quotePrefix="0" xfId="0"/>
    <xf numFmtId="0" fontId="3" fillId="0" borderId="1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3" fontId="0" fillId="0" borderId="0" pivotButton="0" quotePrefix="0" xfId="0"/>
    <xf numFmtId="0" fontId="7" fillId="0" borderId="0" pivotButton="0" quotePrefix="0" xfId="0"/>
    <xf numFmtId="3" fontId="8" fillId="3" borderId="0" pivotButton="0" quotePrefix="0" xfId="0"/>
    <xf numFmtId="164" fontId="0" fillId="0" borderId="0" pivotButton="0" quotePrefix="0" xfId="0"/>
    <xf numFmtId="0" fontId="9" fillId="0" borderId="0" applyAlignment="1" pivotButton="0" quotePrefix="0" xfId="0">
      <alignment horizontal="center"/>
    </xf>
    <xf numFmtId="3" fontId="9" fillId="0" borderId="0" pivotButton="0" quotePrefix="0" xfId="0"/>
    <xf numFmtId="0" fontId="3" fillId="0" borderId="0" pivotButton="0" quotePrefix="0" xfId="0"/>
    <xf numFmtId="3" fontId="2" fillId="0" borderId="0" pivotButton="0" quotePrefix="0" xfId="0"/>
    <xf numFmtId="0" fontId="10" fillId="0" borderId="0" pivotButton="0" quotePrefix="0" xfId="0"/>
    <xf numFmtId="0" fontId="9" fillId="0" borderId="0" pivotButton="0" quotePrefix="0" xfId="0"/>
    <xf numFmtId="0" fontId="6" fillId="0" borderId="0" applyAlignment="1" pivotButton="0" quotePrefix="0" xfId="0">
      <alignment vertical="top" wrapText="1"/>
    </xf>
    <xf numFmtId="165" fontId="0" fillId="0" borderId="0" pivotButton="0" quotePrefix="0" xfId="0"/>
    <xf numFmtId="0" fontId="3" fillId="0" borderId="1" pivotButton="0" quotePrefix="0" xfId="0"/>
    <xf numFmtId="3" fontId="0" fillId="0" borderId="1" pivotButton="0" quotePrefix="0" xfId="0"/>
    <xf numFmtId="0" fontId="9" fillId="3" borderId="1" pivotButton="0" quotePrefix="0" xfId="0"/>
    <xf numFmtId="3" fontId="9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8" customWidth="1" min="3" max="3"/>
    <col width="40" customWidth="1" min="4" max="4"/>
  </cols>
  <sheetData>
    <row r="1">
      <c r="A1" s="1" t="inlineStr">
        <is>
          <t>くらしの計算室 — 手取り試算スプレッドシート（2026年版）</t>
        </is>
      </c>
    </row>
    <row r="3">
      <c r="A3" s="2" t="inlineStr">
        <is>
          <t>免責事項</t>
        </is>
      </c>
    </row>
    <row r="4">
      <c r="A4" s="3" t="inlineStr">
        <is>
          <t>・本テンプレートの計算結果はすべて概算です。最終的な手取り額は給与明細・勤務先の人事・税理士等でご確認ください。</t>
        </is>
      </c>
    </row>
    <row r="5">
      <c r="A5" s="3" t="inlineStr">
        <is>
          <t>・健康保険は協会けんぽの標準料率（本人4.95%）を目安にしています。健保組合・扶養家族・標準報酬月額の等級差は反映しません。</t>
        </is>
      </c>
    </row>
    <row r="6">
      <c r="A6" s="3" t="inlineStr">
        <is>
          <t>・住民税の天引き開始時期（新卒1年目の非課税期間など）や、各種控除（配偶者・住宅ローン等）は未対応です。</t>
        </is>
      </c>
    </row>
    <row r="7">
      <c r="A7" s="3" t="inlineStr">
        <is>
          <t>・ボーナスにも社会保険料率（合計14.65%）を適用します。サイトの無料ツール tools/tedori.html と同一ロジックです。</t>
        </is>
      </c>
    </row>
    <row r="8">
      <c r="A8" s="3" t="inlineStr">
        <is>
          <t>・税制・社保料率は改正により変わります。毎年8月頃は料率の見直しを推奨します。</t>
        </is>
      </c>
    </row>
    <row r="10">
      <c r="A10" s="2" t="inlineStr">
        <is>
          <t>使い方</t>
        </is>
      </c>
    </row>
    <row r="11">
      <c r="A11" s="4" t="inlineStr">
        <is>
          <t>1. 手取り試算シート</t>
        </is>
      </c>
      <c r="B11" s="3" t="inlineStr">
        <is>
          <t>B3（月収）・B4（年間ボーナス）を入力すると、社保・税の内訳と毎月の手取り（B17）が自動計算されます。</t>
        </is>
      </c>
    </row>
    <row r="12">
      <c r="A12" s="4" t="inlineStr">
        <is>
          <t>2. 手取り比較シート</t>
        </is>
      </c>
      <c r="B12" s="3" t="inlineStr">
        <is>
          <t>パターンA〜Cの月収・ボーナスを入力し、手取りとAとの差額（月・年）を横並びで比較できます。転職・昇給の検討に使えます。</t>
        </is>
      </c>
    </row>
    <row r="13">
      <c r="A13" s="4" t="inlineStr">
        <is>
          <t>3. 家計サマリシート</t>
        </is>
      </c>
      <c r="B13" s="3" t="inlineStr">
        <is>
          <t>手取り試算の手取りを参照し、固定費・変動費を入力すると「自由に使える額」と貯蓄率がわかります。各費目は自由に書き換えてください。</t>
        </is>
      </c>
    </row>
    <row r="14">
      <c r="A14" s="4" t="inlineStr">
        <is>
          <t>4. 積立メモシート</t>
        </is>
      </c>
      <c r="B14" s="3" t="inlineStr">
        <is>
          <t>家計サマリの余剰額を積立額の初期値に、想定利回り・期間から将来の資産額を複利で試算します（tsumitate.html と同一ロジック）。</t>
        </is>
      </c>
    </row>
    <row r="15">
      <c r="A15" s="4" t="inlineStr">
        <is>
          <t>5. 年間俯瞰シート</t>
        </is>
      </c>
      <c r="B15" s="3" t="inlineStr">
        <is>
          <t>12か月分の手取り・支出・貯蓄を一覧し、年間合計と累計貯蓄を確認できます。印刷・面談用のサマリです。</t>
        </is>
      </c>
    </row>
    <row r="16">
      <c r="A16" s="4" t="inlineStr">
        <is>
          <t>6. 保存・編集</t>
        </is>
      </c>
      <c r="B16" s="3" t="inlineStr">
        <is>
          <t>数値は自由に書き換えてください。別名で保存すれば、複数シナリオをファイルごとに残せます。</t>
        </is>
      </c>
    </row>
    <row r="17">
      <c r="A17" s="4" t="inlineStr">
        <is>
          <t>7. 推奨環境</t>
        </is>
      </c>
      <c r="B17" s="3" t="inlineStr">
        <is>
          <t>編集はPC版 Excel または Google スプレッドシート（xlsxインポート）を推奨します。スマホは閲覧のみ想定です。</t>
        </is>
      </c>
    </row>
    <row r="19">
      <c r="A19" s="2" t="inlineStr">
        <is>
          <t>検証用テストケース</t>
        </is>
      </c>
    </row>
    <row r="20">
      <c r="A20" s="5" t="inlineStr">
        <is>
          <t>月収（額面）</t>
        </is>
      </c>
      <c r="B20" s="5" t="inlineStr">
        <is>
          <t>年間ボーナス</t>
        </is>
      </c>
      <c r="C20" s="5" t="inlineStr">
        <is>
          <t>毎月手取り（目安）</t>
        </is>
      </c>
      <c r="D20" s="5" t="inlineStr">
        <is>
          <t>確認方法</t>
        </is>
      </c>
    </row>
    <row r="21">
      <c r="A21" s="6" t="n">
        <v>300000</v>
      </c>
      <c r="B21" s="6" t="n">
        <v>0</v>
      </c>
      <c r="C21" s="6" t="n">
        <v>237184</v>
      </c>
      <c r="D21" s="7" t="inlineStr">
        <is>
          <t>手取り比較シートのパターンA初期値</t>
        </is>
      </c>
    </row>
    <row r="22">
      <c r="A22" s="6" t="n">
        <v>330000</v>
      </c>
      <c r="B22" s="6" t="n">
        <v>0</v>
      </c>
      <c r="C22" s="6" t="n">
        <v>259827</v>
      </c>
      <c r="D22" s="7" t="inlineStr">
        <is>
          <t>手取り比較シートのパターンB初期値</t>
        </is>
      </c>
    </row>
    <row r="23">
      <c r="A23" s="6" t="n">
        <v>360000</v>
      </c>
      <c r="B23" s="6" t="n">
        <v>0</v>
      </c>
      <c r="C23" s="6" t="n">
        <v>282471</v>
      </c>
      <c r="D23" s="7" t="inlineStr">
        <is>
          <t>手取り比較シートのパターンC初期値</t>
        </is>
      </c>
    </row>
    <row r="25">
      <c r="A25" s="2" t="inlineStr">
        <is>
          <t>無料Webツール</t>
        </is>
      </c>
    </row>
    <row r="26">
      <c r="A26" s="8" t="inlineStr">
        <is>
          <t>https://shunsukesaito00.github.io/kurashi/tools/tedori.html</t>
        </is>
      </c>
    </row>
    <row r="27">
      <c r="A27" s="9" t="inlineStr">
        <is>
          <t>ブラウザで同じ条件を試算できます。共有URLで条件を保存・共有することも可能です。</t>
        </is>
      </c>
    </row>
  </sheetData>
  <mergeCells count="15">
    <mergeCell ref="A1:D1"/>
    <mergeCell ref="A5:D5"/>
    <mergeCell ref="B11:D11"/>
    <mergeCell ref="A27:D27"/>
    <mergeCell ref="A8:D8"/>
    <mergeCell ref="B14:D14"/>
    <mergeCell ref="A6:D6"/>
    <mergeCell ref="B15:D15"/>
    <mergeCell ref="A4:D4"/>
    <mergeCell ref="A26:D26"/>
    <mergeCell ref="B17:D17"/>
    <mergeCell ref="A7:D7"/>
    <mergeCell ref="B13:D13"/>
    <mergeCell ref="B12:D12"/>
    <mergeCell ref="B16:D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手取り試算 — くらしの計算室（2026年版）</t>
        </is>
      </c>
    </row>
    <row r="2">
      <c r="A2" s="9" t="inlineStr">
        <is>
          <t>※概算です。健保・扶養・住民税の開始時期等は反映しません。給与明細・勤務先でご確認ください。</t>
        </is>
      </c>
    </row>
    <row r="3">
      <c r="A3" t="inlineStr">
        <is>
          <t>月収（額面・円）</t>
        </is>
      </c>
      <c r="B3" s="10" t="n">
        <v>300000</v>
      </c>
    </row>
    <row r="4">
      <c r="A4" t="inlineStr">
        <is>
          <t>年間ボーナス（円）</t>
        </is>
      </c>
      <c r="B4" s="10" t="n">
        <v>0</v>
      </c>
    </row>
    <row r="5">
      <c r="A5" s="11" t="inlineStr">
        <is>
          <t>年間額面</t>
        </is>
      </c>
      <c r="B5" s="10">
        <f>B3*12+B4</f>
        <v/>
      </c>
    </row>
    <row r="6">
      <c r="A6" s="11" t="inlineStr">
        <is>
          <t>健康保険料（月）</t>
        </is>
      </c>
      <c r="B6" s="10">
        <f>ROUND(B3*0.0495,0)</f>
        <v/>
      </c>
    </row>
    <row r="7">
      <c r="A7" s="11" t="inlineStr">
        <is>
          <t>厚生年金（月）</t>
        </is>
      </c>
      <c r="B7" s="10">
        <f>ROUND(B3*0.0915,0)</f>
        <v/>
      </c>
    </row>
    <row r="8">
      <c r="A8" s="11" t="inlineStr">
        <is>
          <t>雇用保険（月）</t>
        </is>
      </c>
      <c r="B8" s="10">
        <f>ROUND(B3*0.0055,0)</f>
        <v/>
      </c>
    </row>
    <row r="9">
      <c r="A9" s="11" t="inlineStr">
        <is>
          <t>社会保険料（年）</t>
        </is>
      </c>
      <c r="B9" s="10">
        <f>(B6+B7+B8)*12+B4*0.1465</f>
        <v/>
      </c>
    </row>
    <row r="10">
      <c r="A10" s="11" t="inlineStr">
        <is>
          <t>給与所得控除（年）</t>
        </is>
      </c>
      <c r="B10" s="10">
        <f>IF(B5&lt;=1625000,550000,IF(B5&lt;=1800000,B5*0.4-100000,IF(B5&lt;=3600000,B5*0.3+80000,IF(B5&lt;=6600000,B5*0.2+440000,IF(B5&lt;=8500000,B5*0.1+1100000,1950000)))))</f>
        <v/>
      </c>
    </row>
    <row r="11">
      <c r="A11" s="11" t="inlineStr">
        <is>
          <t>課税所得・所得税用（年）</t>
        </is>
      </c>
      <c r="B11" s="10">
        <f>MAX(0,B5-B10-B9-480000)</f>
        <v/>
      </c>
    </row>
    <row r="12">
      <c r="A12" s="11" t="inlineStr">
        <is>
          <t>所得税（年・復興含む）</t>
        </is>
      </c>
      <c r="B12" s="10">
        <f>IF(B11&lt;=0,0,IF(B11&lt;=1950000,B11*0.05,IF(B11&lt;=3300000,B11*0.1-97500,IF(B11&lt;=6950000,B11*0.2-427500,IF(B11&lt;=9000000,B11*0.23-636000,IF(B11&lt;=18000000,B11*0.33-1536000,IF(B11&lt;=40000000,B11*0.4-2796000,B11*0.45-4796000)))))))*1.021</f>
        <v/>
      </c>
    </row>
    <row r="13">
      <c r="A13" s="11" t="inlineStr">
        <is>
          <t>課税標準・住民税用（年）</t>
        </is>
      </c>
      <c r="B13" s="10">
        <f>MAX(0,B5-B10-B9-430000)</f>
        <v/>
      </c>
    </row>
    <row r="14">
      <c r="A14" s="11" t="inlineStr">
        <is>
          <t>住民税（年）</t>
        </is>
      </c>
      <c r="B14" s="10">
        <f>B13*0.1+5000</f>
        <v/>
      </c>
    </row>
    <row r="15">
      <c r="A15" s="11" t="inlineStr">
        <is>
          <t>所得税（月割）</t>
        </is>
      </c>
      <c r="B15" s="10">
        <f>IF(B5=0,0,ROUND(B12/12*(B3*12/B5),0))</f>
        <v/>
      </c>
    </row>
    <row r="16">
      <c r="A16" s="11" t="inlineStr">
        <is>
          <t>住民税（月割）</t>
        </is>
      </c>
      <c r="B16" s="10">
        <f>ROUND(B14/12,0)</f>
        <v/>
      </c>
    </row>
    <row r="17">
      <c r="A17" s="11" t="inlineStr">
        <is>
          <t>毎月の手取り</t>
        </is>
      </c>
      <c r="B17" s="12">
        <f>B3-B6-B7-B8-B15-B16</f>
        <v/>
      </c>
    </row>
    <row r="18">
      <c r="A18" s="11" t="inlineStr">
        <is>
          <t>控除合計（月）</t>
        </is>
      </c>
      <c r="B18" s="10">
        <f>B3-B17</f>
        <v/>
      </c>
    </row>
    <row r="19">
      <c r="A19" s="11" t="inlineStr">
        <is>
          <t>手取り率</t>
        </is>
      </c>
      <c r="B19" s="13">
        <f>IF(B3=0,"",B17/B3)</f>
        <v/>
      </c>
    </row>
    <row r="20">
      <c r="A20" s="11" t="inlineStr">
        <is>
          <t>年間手取り目安（簡易）</t>
        </is>
      </c>
      <c r="B20" s="10">
        <f>B17*12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手取り比較（最大3パターン）— くらしの計算室</t>
        </is>
      </c>
    </row>
    <row r="2">
      <c r="A2" s="9" t="inlineStr">
        <is>
          <t>※概算です。健保・扶養・住民税の開始時期等は反映しません。給与明細・勤務先でご確認ください。</t>
        </is>
      </c>
      <c r="B2" s="14" t="inlineStr">
        <is>
          <t>パターンA</t>
        </is>
      </c>
      <c r="C2" s="14" t="inlineStr">
        <is>
          <t>パターンB</t>
        </is>
      </c>
      <c r="D2" s="14" t="inlineStr">
        <is>
          <t>パターンC</t>
        </is>
      </c>
    </row>
    <row r="3">
      <c r="A3" t="inlineStr">
        <is>
          <t>月収（額面・円）</t>
        </is>
      </c>
      <c r="B3" s="10" t="n">
        <v>300000</v>
      </c>
      <c r="C3" s="10" t="n">
        <v>330000</v>
      </c>
      <c r="D3" s="10" t="n">
        <v>360000</v>
      </c>
    </row>
    <row r="4">
      <c r="A4" t="inlineStr">
        <is>
          <t>年間ボーナス（円）</t>
        </is>
      </c>
      <c r="B4" s="10" t="n">
        <v>0</v>
      </c>
      <c r="C4" s="10" t="n">
        <v>0</v>
      </c>
      <c r="D4" s="10" t="n">
        <v>0</v>
      </c>
    </row>
    <row r="5">
      <c r="A5" s="11" t="inlineStr">
        <is>
          <t>年間額面</t>
        </is>
      </c>
      <c r="B5" s="10">
        <f>B3*12+B4</f>
        <v/>
      </c>
      <c r="C5" s="10">
        <f>C3*12+C4</f>
        <v/>
      </c>
      <c r="D5" s="10">
        <f>D3*12+D4</f>
        <v/>
      </c>
    </row>
    <row r="6">
      <c r="A6" s="11" t="inlineStr">
        <is>
          <t>健康保険料（月）</t>
        </is>
      </c>
      <c r="B6" s="10">
        <f>ROUND(B3*0.0495,0)</f>
        <v/>
      </c>
      <c r="C6" s="10">
        <f>ROUND(C3*0.0495,0)</f>
        <v/>
      </c>
      <c r="D6" s="10">
        <f>ROUND(D3*0.0495,0)</f>
        <v/>
      </c>
    </row>
    <row r="7">
      <c r="A7" s="11" t="inlineStr">
        <is>
          <t>厚生年金（月）</t>
        </is>
      </c>
      <c r="B7" s="10">
        <f>ROUND(B3*0.0915,0)</f>
        <v/>
      </c>
      <c r="C7" s="10">
        <f>ROUND(C3*0.0915,0)</f>
        <v/>
      </c>
      <c r="D7" s="10">
        <f>ROUND(D3*0.0915,0)</f>
        <v/>
      </c>
    </row>
    <row r="8">
      <c r="A8" s="11" t="inlineStr">
        <is>
          <t>雇用保険（月）</t>
        </is>
      </c>
      <c r="B8" s="10">
        <f>ROUND(B3*0.0055,0)</f>
        <v/>
      </c>
      <c r="C8" s="10">
        <f>ROUND(C3*0.0055,0)</f>
        <v/>
      </c>
      <c r="D8" s="10">
        <f>ROUND(D3*0.0055,0)</f>
        <v/>
      </c>
    </row>
    <row r="9">
      <c r="A9" s="11" t="inlineStr">
        <is>
          <t>社会保険料（年）</t>
        </is>
      </c>
      <c r="B9" s="10">
        <f>(B6+B7+B8)*12+B4*0.1465</f>
        <v/>
      </c>
      <c r="C9" s="10">
        <f>(C6+C7+C8)*12+C4*0.1465</f>
        <v/>
      </c>
      <c r="D9" s="10">
        <f>(D6+D7+D8)*12+D4*0.1465</f>
        <v/>
      </c>
    </row>
    <row r="10">
      <c r="A10" s="11" t="inlineStr">
        <is>
          <t>給与所得控除（年）</t>
        </is>
      </c>
      <c r="B10" s="10">
        <f>IF(B5&lt;=1625000,550000,IF(B5&lt;=1800000,B5*0.4-100000,IF(B5&lt;=3600000,B5*0.3+80000,IF(B5&lt;=6600000,B5*0.2+440000,IF(B5&lt;=8500000,B5*0.1+1100000,1950000)))))</f>
        <v/>
      </c>
      <c r="C10" s="10">
        <f>IF(C5&lt;=1625000,550000,IF(C5&lt;=1800000,C5*0.4-100000,IF(C5&lt;=3600000,C5*0.3+80000,IF(C5&lt;=6600000,C5*0.2+440000,IF(C5&lt;=8500000,C5*0.1+1100000,1950000)))))</f>
        <v/>
      </c>
      <c r="D10" s="10">
        <f>IF(D5&lt;=1625000,550000,IF(D5&lt;=1800000,D5*0.4-100000,IF(D5&lt;=3600000,D5*0.3+80000,IF(D5&lt;=6600000,D5*0.2+440000,IF(D5&lt;=8500000,D5*0.1+1100000,1950000)))))</f>
        <v/>
      </c>
    </row>
    <row r="11">
      <c r="A11" s="11" t="inlineStr">
        <is>
          <t>課税所得・所得税用（年）</t>
        </is>
      </c>
      <c r="B11" s="10">
        <f>MAX(0,B5-B10-B9-480000)</f>
        <v/>
      </c>
      <c r="C11" s="10">
        <f>MAX(0,C5-C10-C9-480000)</f>
        <v/>
      </c>
      <c r="D11" s="10">
        <f>MAX(0,D5-D10-D9-480000)</f>
        <v/>
      </c>
    </row>
    <row r="12">
      <c r="A12" s="11" t="inlineStr">
        <is>
          <t>所得税（年・復興含む）</t>
        </is>
      </c>
      <c r="B12" s="10">
        <f>IF(B11&lt;=0,0,IF(B11&lt;=1950000,B11*0.05,IF(B11&lt;=3300000,B11*0.1-97500,IF(B11&lt;=6950000,B11*0.2-427500,IF(B11&lt;=9000000,B11*0.23-636000,IF(B11&lt;=18000000,B11*0.33-1536000,IF(B11&lt;=40000000,B11*0.4-2796000,B11*0.45-4796000)))))))*1.021</f>
        <v/>
      </c>
      <c r="C12" s="10">
        <f>IF(C11&lt;=0,0,IF(C11&lt;=1950000,C11*0.05,IF(C11&lt;=3300000,C11*0.1-97500,IF(C11&lt;=6950000,C11*0.2-427500,IF(C11&lt;=9000000,C11*0.23-636000,IF(C11&lt;=18000000,C11*0.33-1536000,IF(C11&lt;=40000000,C11*0.4-2796000,C11*0.45-4796000)))))))*1.021</f>
        <v/>
      </c>
      <c r="D12" s="10">
        <f>IF(D11&lt;=0,0,IF(D11&lt;=1950000,D11*0.05,IF(D11&lt;=3300000,D11*0.1-97500,IF(D11&lt;=6950000,D11*0.2-427500,IF(D11&lt;=9000000,D11*0.23-636000,IF(D11&lt;=18000000,D11*0.33-1536000,IF(D11&lt;=40000000,D11*0.4-2796000,D11*0.45-4796000)))))))*1.021</f>
        <v/>
      </c>
    </row>
    <row r="13">
      <c r="A13" s="11" t="inlineStr">
        <is>
          <t>課税標準・住民税用（年）</t>
        </is>
      </c>
      <c r="B13" s="10">
        <f>MAX(0,B5-B10-B9-430000)</f>
        <v/>
      </c>
      <c r="C13" s="10">
        <f>MAX(0,C5-C10-C9-430000)</f>
        <v/>
      </c>
      <c r="D13" s="10">
        <f>MAX(0,D5-D10-D9-430000)</f>
        <v/>
      </c>
    </row>
    <row r="14">
      <c r="A14" s="11" t="inlineStr">
        <is>
          <t>住民税（年）</t>
        </is>
      </c>
      <c r="B14" s="10">
        <f>B13*0.1+5000</f>
        <v/>
      </c>
      <c r="C14" s="10">
        <f>C13*0.1+5000</f>
        <v/>
      </c>
      <c r="D14" s="10">
        <f>D13*0.1+5000</f>
        <v/>
      </c>
    </row>
    <row r="15">
      <c r="A15" s="11" t="inlineStr">
        <is>
          <t>所得税（月割）</t>
        </is>
      </c>
      <c r="B15" s="10">
        <f>IF(B5=0,0,ROUND(B12/12*(B3*12/B5),0))</f>
        <v/>
      </c>
      <c r="C15" s="10">
        <f>IF(C5=0,0,ROUND(C12/12*(C3*12/C5),0))</f>
        <v/>
      </c>
      <c r="D15" s="10">
        <f>IF(D5=0,0,ROUND(D12/12*(D3*12/D5),0))</f>
        <v/>
      </c>
    </row>
    <row r="16">
      <c r="A16" s="11" t="inlineStr">
        <is>
          <t>住民税（月割）</t>
        </is>
      </c>
      <c r="B16" s="10">
        <f>ROUND(B14/12,0)</f>
        <v/>
      </c>
      <c r="C16" s="10">
        <f>ROUND(C14/12,0)</f>
        <v/>
      </c>
      <c r="D16" s="10">
        <f>ROUND(D14/12,0)</f>
        <v/>
      </c>
    </row>
    <row r="17">
      <c r="A17" t="inlineStr">
        <is>
          <t>毎月の手取り</t>
        </is>
      </c>
      <c r="B17" s="15">
        <f>B3-B6-B7-B8-B15-B16</f>
        <v/>
      </c>
      <c r="C17" s="15">
        <f>C3-C6-C7-C8-C15-C16</f>
        <v/>
      </c>
      <c r="D17" s="15">
        <f>D3-D6-D7-D8-D15-D16</f>
        <v/>
      </c>
    </row>
    <row r="18">
      <c r="A18" t="inlineStr">
        <is>
          <t>手取り率</t>
        </is>
      </c>
      <c r="B18" s="13">
        <f>IF(B3=0,"",B17/B3)</f>
        <v/>
      </c>
      <c r="C18" s="13">
        <f>IF(C3=0,"",C17/C3)</f>
        <v/>
      </c>
      <c r="D18" s="13">
        <f>IF(D3=0,"",D17/D3)</f>
        <v/>
      </c>
    </row>
    <row r="19">
      <c r="A19" t="inlineStr">
        <is>
          <t>Aとの手取り差（月）</t>
        </is>
      </c>
      <c r="B19" t="inlineStr">
        <is>
          <t>—</t>
        </is>
      </c>
      <c r="C19" s="10">
        <f>$C$17-$B$17</f>
        <v/>
      </c>
      <c r="D19" s="10">
        <f>$D$17-$B$17</f>
        <v/>
      </c>
    </row>
    <row r="20">
      <c r="A20" t="inlineStr">
        <is>
          <t>Aとの手取り差（年）</t>
        </is>
      </c>
      <c r="B20" s="10" t="inlineStr">
        <is>
          <t>—</t>
        </is>
      </c>
      <c r="C20" s="10">
        <f>C19*12</f>
        <v/>
      </c>
      <c r="D20" s="10">
        <f>D19*12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家計サマリ — くらしの計算室</t>
        </is>
      </c>
    </row>
    <row r="2">
      <c r="A2" s="9" t="inlineStr">
        <is>
          <t>※概算です。健保・扶養・住民税の開始時期等は反映しません。給与明細・勤務先でご確認ください。</t>
        </is>
      </c>
    </row>
    <row r="3">
      <c r="A3" s="16" t="inlineStr">
        <is>
          <t>毎月の手取り（手取り試算より）</t>
        </is>
      </c>
      <c r="B3" s="17">
        <f>'手取り試算'!B17</f>
        <v/>
      </c>
    </row>
    <row r="5">
      <c r="A5" s="18" t="inlineStr">
        <is>
          <t>固定費（毎月）</t>
        </is>
      </c>
    </row>
    <row r="6">
      <c r="A6" s="16" t="inlineStr">
        <is>
          <t>家賃・住宅ローン</t>
        </is>
      </c>
      <c r="B6" s="10" t="n">
        <v>80000</v>
      </c>
    </row>
    <row r="7">
      <c r="A7" s="16" t="inlineStr">
        <is>
          <t>水道光熱費</t>
        </is>
      </c>
      <c r="B7" s="10" t="n">
        <v>12000</v>
      </c>
    </row>
    <row r="8">
      <c r="A8" s="16" t="inlineStr">
        <is>
          <t>通信費（携帯・ネット）</t>
        </is>
      </c>
      <c r="B8" s="10" t="n">
        <v>8000</v>
      </c>
    </row>
    <row r="9">
      <c r="A9" s="16" t="inlineStr">
        <is>
          <t>保険（生命・医療等）</t>
        </is>
      </c>
      <c r="B9" s="10" t="n">
        <v>5000</v>
      </c>
    </row>
    <row r="10">
      <c r="A10" s="16" t="inlineStr">
        <is>
          <t>ローン返済（住宅以外）</t>
        </is>
      </c>
      <c r="B10" s="10" t="n">
        <v>0</v>
      </c>
    </row>
    <row r="11">
      <c r="A11" s="16" t="inlineStr">
        <is>
          <t>その他固定費</t>
        </is>
      </c>
      <c r="B11" s="10" t="n">
        <v>5000</v>
      </c>
    </row>
    <row r="12">
      <c r="A12" s="19" t="inlineStr">
        <is>
          <t>固定費合計</t>
        </is>
      </c>
      <c r="B12" s="15">
        <f>SUM(B6:B11)</f>
        <v/>
      </c>
    </row>
    <row r="14">
      <c r="A14" s="18" t="inlineStr">
        <is>
          <t>変動費（毎月）</t>
        </is>
      </c>
    </row>
    <row r="15">
      <c r="A15" s="16" t="inlineStr">
        <is>
          <t>食費</t>
        </is>
      </c>
      <c r="B15" s="10" t="n">
        <v>40000</v>
      </c>
    </row>
    <row r="16">
      <c r="A16" s="16" t="inlineStr">
        <is>
          <t>交通費</t>
        </is>
      </c>
      <c r="B16" s="10" t="n">
        <v>8000</v>
      </c>
    </row>
    <row r="17">
      <c r="A17" s="16" t="inlineStr">
        <is>
          <t>日用品・消耗品</t>
        </is>
      </c>
      <c r="B17" s="10" t="n">
        <v>5000</v>
      </c>
    </row>
    <row r="18">
      <c r="A18" s="16" t="inlineStr">
        <is>
          <t>交際費・娯楽</t>
        </is>
      </c>
      <c r="B18" s="10" t="n">
        <v>15000</v>
      </c>
    </row>
    <row r="19">
      <c r="A19" s="16" t="inlineStr">
        <is>
          <t>その他変動費</t>
        </is>
      </c>
      <c r="B19" s="10" t="n">
        <v>5000</v>
      </c>
    </row>
    <row r="20">
      <c r="A20" s="19" t="inlineStr">
        <is>
          <t>変動費合計</t>
        </is>
      </c>
      <c r="B20" s="15">
        <f>SUM(B15:B19)</f>
        <v/>
      </c>
    </row>
    <row r="22">
      <c r="A22" s="16" t="inlineStr">
        <is>
          <t>支出合計（固定費＋変動費）</t>
        </is>
      </c>
      <c r="B22" s="10">
        <f>B12+B20</f>
        <v/>
      </c>
    </row>
    <row r="23">
      <c r="A23" s="2" t="inlineStr">
        <is>
          <t>自由に使える額（余剰）</t>
        </is>
      </c>
      <c r="B23" s="12">
        <f>B3-B22</f>
        <v/>
      </c>
    </row>
    <row r="24">
      <c r="A24" s="16" t="inlineStr">
        <is>
          <t>貯蓄に回せる割合（手取り比）</t>
        </is>
      </c>
      <c r="B24" s="13">
        <f>IF(B3=0,"",B23/B3)</f>
        <v/>
      </c>
    </row>
    <row r="25">
      <c r="A25" s="16" t="inlineStr">
        <is>
          <t>支出率（手取り比）</t>
        </is>
      </c>
      <c r="B25" s="13">
        <f>IF(B3=0,"",B22/B3)</f>
        <v/>
      </c>
    </row>
    <row r="27">
      <c r="A27" s="18" t="inlineStr">
        <is>
          <t>メモ</t>
        </is>
      </c>
    </row>
    <row r="28">
      <c r="A28" s="20" t="inlineStr">
        <is>
          <t>自由に使える額は、手取りから固定費・変動費を引いた残りです。実際の貯蓄額は積立・投資の振替額で調整してください。</t>
        </is>
      </c>
    </row>
  </sheetData>
  <mergeCells count="1">
    <mergeCell ref="A28:B2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積立メモ — くらしの計算室</t>
        </is>
      </c>
    </row>
    <row r="2">
      <c r="A2" s="9" t="inlineStr">
        <is>
          <t>※概算です。健保・扶養・住民税の開始時期等は反映しません。給与明細・勤務先でご確認ください。</t>
        </is>
      </c>
    </row>
    <row r="3">
      <c r="A3" s="16" t="inlineStr">
        <is>
          <t>毎月の積立額（円）</t>
        </is>
      </c>
      <c r="B3" s="10">
        <f>MAX(0,'家計サマリ'!B23)</f>
        <v/>
      </c>
    </row>
    <row r="4">
      <c r="A4" s="16" t="inlineStr">
        <is>
          <t>想定利回り（年率%）</t>
        </is>
      </c>
      <c r="B4" s="21" t="n">
        <v>5</v>
      </c>
    </row>
    <row r="5">
      <c r="A5" s="16" t="inlineStr">
        <is>
          <t>積立期間（年）</t>
        </is>
      </c>
      <c r="B5" t="n">
        <v>20</v>
      </c>
    </row>
    <row r="7">
      <c r="A7" s="18" t="inlineStr">
        <is>
          <t>シミュレーション結果</t>
        </is>
      </c>
    </row>
    <row r="8">
      <c r="A8" s="16" t="inlineStr">
        <is>
          <t>最終的な資産額（目安）</t>
        </is>
      </c>
      <c r="B8" s="12">
        <f>IF(B5&lt;=0,0,IF(B4=0,ROUND(B3*(B5*12),0),ROUND(B3*(((1+B4/100/12)^(B5*12)-1)/B4/100/12),0)))</f>
        <v/>
      </c>
    </row>
    <row r="9">
      <c r="A9" s="16" t="inlineStr">
        <is>
          <t>積立元本</t>
        </is>
      </c>
      <c r="B9" s="10">
        <f>B3*B5*12</f>
        <v/>
      </c>
    </row>
    <row r="10">
      <c r="A10" s="16" t="inlineStr">
        <is>
          <t>運用益</t>
        </is>
      </c>
      <c r="B10" s="10">
        <f>B8-B9</f>
        <v/>
      </c>
    </row>
    <row r="11">
      <c r="A11" t="inlineStr">
        <is>
          <t>元本に対する増加率</t>
        </is>
      </c>
      <c r="B11" s="13">
        <f>IF(B9=0,"",B10/B9)</f>
        <v/>
      </c>
    </row>
    <row r="13">
      <c r="A13" s="18" t="inlineStr">
        <is>
          <t>期間別の目安（上記の積立額・利回りで試算）</t>
        </is>
      </c>
    </row>
    <row r="14">
      <c r="A14" s="5" t="inlineStr">
        <is>
          <t>期間（年）</t>
        </is>
      </c>
      <c r="B14" s="5" t="inlineStr">
        <is>
          <t>積立元本</t>
        </is>
      </c>
      <c r="C14" s="5" t="inlineStr">
        <is>
          <t>資産額（目安）</t>
        </is>
      </c>
    </row>
    <row r="15">
      <c r="A15" s="22" t="n">
        <v>10</v>
      </c>
      <c r="B15" s="6">
        <f>$B$3*A15*12</f>
        <v/>
      </c>
      <c r="C15" s="6">
        <f>IF(A15&lt;=0,0,IF($B$4=0,ROUND($B$3*(A15*12),0),ROUND($B$3*(((1+$B$4/100/12)^(A15*12)-1)/$B$4/100/12),0)))</f>
        <v/>
      </c>
    </row>
    <row r="16">
      <c r="A16" s="22" t="n">
        <v>20</v>
      </c>
      <c r="B16" s="6">
        <f>$B$3*A16*12</f>
        <v/>
      </c>
      <c r="C16" s="6">
        <f>IF(A16&lt;=0,0,IF($B$4=0,ROUND($B$3*(A16*12),0),ROUND($B$3*(((1+$B$4/100/12)^(A16*12)-1)/$B$4/100/12),0)))</f>
        <v/>
      </c>
    </row>
    <row r="17">
      <c r="A17" s="22" t="n">
        <v>30</v>
      </c>
      <c r="B17" s="6">
        <f>$B$3*A17*12</f>
        <v/>
      </c>
      <c r="C17" s="6">
        <f>IF(A17&lt;=0,0,IF($B$4=0,ROUND($B$3*(A17*12),0),ROUND($B$3*(((1+$B$4/100/12)^(A17*12)-1)/$B$4/100/12),0)))</f>
        <v/>
      </c>
    </row>
    <row r="19">
      <c r="A19" s="18" t="inlineStr">
        <is>
          <t>無料Webツール</t>
        </is>
      </c>
    </row>
    <row r="20">
      <c r="A20" s="8" t="inlineStr">
        <is>
          <t>https://shunsukesaito00.github.io/kurashi/tools/tsumitate.html</t>
        </is>
      </c>
    </row>
    <row r="22">
      <c r="A22" s="18" t="inlineStr">
        <is>
          <t>免責</t>
        </is>
      </c>
    </row>
    <row r="23">
      <c r="A23" s="20" t="inlineStr">
        <is>
          <t>月次複利・利回り一定を仮定した概算です。実際の運用成果を保証するものではなく、金融商品には価格変動リスクがあります。</t>
        </is>
      </c>
    </row>
  </sheetData>
  <mergeCells count="2">
    <mergeCell ref="A20:B20"/>
    <mergeCell ref="A23:B2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年間俯瞰 — くらしの計算室</t>
        </is>
      </c>
    </row>
    <row r="2">
      <c r="A2" s="20" t="inlineStr">
        <is>
          <t>※ 各月は手取り試算・家計サマリの月次値を固定で反映しています。ボーナス月の変動は簡略化しています（年間ボーナスは下記参考欄）。</t>
        </is>
      </c>
    </row>
    <row r="4">
      <c r="A4" s="16" t="inlineStr">
        <is>
          <t>毎月の手取り（参照）</t>
        </is>
      </c>
      <c r="B4" s="10">
        <f>'手取り試算'!B17</f>
        <v/>
      </c>
      <c r="D4" s="16" t="inlineStr">
        <is>
          <t>年間ボーナス（参考）</t>
        </is>
      </c>
      <c r="E4" s="10">
        <f>'手取り試算'!B4</f>
        <v/>
      </c>
    </row>
    <row r="5">
      <c r="A5" s="16" t="inlineStr">
        <is>
          <t>毎月の支出（参照）</t>
        </is>
      </c>
      <c r="B5" s="10">
        <f>'家計サマリ'!B22</f>
        <v/>
      </c>
    </row>
    <row r="6">
      <c r="A6" s="16" t="inlineStr">
        <is>
          <t>毎月の貯蓄（参照）</t>
        </is>
      </c>
      <c r="B6" s="10">
        <f>'家計サマリ'!B23</f>
        <v/>
      </c>
    </row>
    <row r="8">
      <c r="A8" s="5" t="inlineStr">
        <is>
          <t>月</t>
        </is>
      </c>
      <c r="B8" s="5" t="inlineStr">
        <is>
          <t>手取り</t>
        </is>
      </c>
      <c r="C8" s="5" t="inlineStr">
        <is>
          <t>支出</t>
        </is>
      </c>
      <c r="D8" s="5" t="inlineStr">
        <is>
          <t>貯蓄</t>
        </is>
      </c>
      <c r="E8" s="5" t="inlineStr">
        <is>
          <t>累計貯蓄</t>
        </is>
      </c>
    </row>
    <row r="9">
      <c r="A9" s="16" t="inlineStr">
        <is>
          <t>1月</t>
        </is>
      </c>
      <c r="B9" s="23">
        <f>$B$4</f>
        <v/>
      </c>
      <c r="C9" s="23">
        <f>$B$5</f>
        <v/>
      </c>
      <c r="D9" s="23">
        <f>$B$6</f>
        <v/>
      </c>
      <c r="E9" s="23">
        <f>D9</f>
        <v/>
      </c>
    </row>
    <row r="10">
      <c r="A10" s="16" t="inlineStr">
        <is>
          <t>2月</t>
        </is>
      </c>
      <c r="B10" s="23">
        <f>$B$4</f>
        <v/>
      </c>
      <c r="C10" s="23">
        <f>$B$5</f>
        <v/>
      </c>
      <c r="D10" s="23">
        <f>$B$6</f>
        <v/>
      </c>
      <c r="E10" s="23">
        <f>E9+D10</f>
        <v/>
      </c>
    </row>
    <row r="11">
      <c r="A11" s="16" t="inlineStr">
        <is>
          <t>3月</t>
        </is>
      </c>
      <c r="B11" s="23">
        <f>$B$4</f>
        <v/>
      </c>
      <c r="C11" s="23">
        <f>$B$5</f>
        <v/>
      </c>
      <c r="D11" s="23">
        <f>$B$6</f>
        <v/>
      </c>
      <c r="E11" s="23">
        <f>E10+D11</f>
        <v/>
      </c>
    </row>
    <row r="12">
      <c r="A12" s="16" t="inlineStr">
        <is>
          <t>4月</t>
        </is>
      </c>
      <c r="B12" s="23">
        <f>$B$4</f>
        <v/>
      </c>
      <c r="C12" s="23">
        <f>$B$5</f>
        <v/>
      </c>
      <c r="D12" s="23">
        <f>$B$6</f>
        <v/>
      </c>
      <c r="E12" s="23">
        <f>E11+D12</f>
        <v/>
      </c>
    </row>
    <row r="13">
      <c r="A13" s="16" t="inlineStr">
        <is>
          <t>5月</t>
        </is>
      </c>
      <c r="B13" s="23">
        <f>$B$4</f>
        <v/>
      </c>
      <c r="C13" s="23">
        <f>$B$5</f>
        <v/>
      </c>
      <c r="D13" s="23">
        <f>$B$6</f>
        <v/>
      </c>
      <c r="E13" s="23">
        <f>E12+D13</f>
        <v/>
      </c>
    </row>
    <row r="14">
      <c r="A14" s="16" t="inlineStr">
        <is>
          <t>6月</t>
        </is>
      </c>
      <c r="B14" s="23">
        <f>$B$4</f>
        <v/>
      </c>
      <c r="C14" s="23">
        <f>$B$5</f>
        <v/>
      </c>
      <c r="D14" s="23">
        <f>$B$6</f>
        <v/>
      </c>
      <c r="E14" s="23">
        <f>E13+D14</f>
        <v/>
      </c>
    </row>
    <row r="15">
      <c r="A15" s="16" t="inlineStr">
        <is>
          <t>7月</t>
        </is>
      </c>
      <c r="B15" s="23">
        <f>$B$4</f>
        <v/>
      </c>
      <c r="C15" s="23">
        <f>$B$5</f>
        <v/>
      </c>
      <c r="D15" s="23">
        <f>$B$6</f>
        <v/>
      </c>
      <c r="E15" s="23">
        <f>E14+D15</f>
        <v/>
      </c>
    </row>
    <row r="16">
      <c r="A16" s="16" t="inlineStr">
        <is>
          <t>8月</t>
        </is>
      </c>
      <c r="B16" s="23">
        <f>$B$4</f>
        <v/>
      </c>
      <c r="C16" s="23">
        <f>$B$5</f>
        <v/>
      </c>
      <c r="D16" s="23">
        <f>$B$6</f>
        <v/>
      </c>
      <c r="E16" s="23">
        <f>E15+D16</f>
        <v/>
      </c>
    </row>
    <row r="17">
      <c r="A17" s="16" t="inlineStr">
        <is>
          <t>9月</t>
        </is>
      </c>
      <c r="B17" s="23">
        <f>$B$4</f>
        <v/>
      </c>
      <c r="C17" s="23">
        <f>$B$5</f>
        <v/>
      </c>
      <c r="D17" s="23">
        <f>$B$6</f>
        <v/>
      </c>
      <c r="E17" s="23">
        <f>E16+D17</f>
        <v/>
      </c>
    </row>
    <row r="18">
      <c r="A18" s="16" t="inlineStr">
        <is>
          <t>10月</t>
        </is>
      </c>
      <c r="B18" s="23">
        <f>$B$4</f>
        <v/>
      </c>
      <c r="C18" s="23">
        <f>$B$5</f>
        <v/>
      </c>
      <c r="D18" s="23">
        <f>$B$6</f>
        <v/>
      </c>
      <c r="E18" s="23">
        <f>E17+D18</f>
        <v/>
      </c>
    </row>
    <row r="19">
      <c r="A19" s="16" t="inlineStr">
        <is>
          <t>11月</t>
        </is>
      </c>
      <c r="B19" s="23">
        <f>$B$4</f>
        <v/>
      </c>
      <c r="C19" s="23">
        <f>$B$5</f>
        <v/>
      </c>
      <c r="D19" s="23">
        <f>$B$6</f>
        <v/>
      </c>
      <c r="E19" s="23">
        <f>E18+D19</f>
        <v/>
      </c>
    </row>
    <row r="20">
      <c r="A20" s="16" t="inlineStr">
        <is>
          <t>12月</t>
        </is>
      </c>
      <c r="B20" s="23">
        <f>$B$4</f>
        <v/>
      </c>
      <c r="C20" s="23">
        <f>$B$5</f>
        <v/>
      </c>
      <c r="D20" s="23">
        <f>$B$6</f>
        <v/>
      </c>
      <c r="E20" s="23">
        <f>E19+D20</f>
        <v/>
      </c>
    </row>
    <row r="21">
      <c r="A21" s="24" t="inlineStr">
        <is>
          <t>年間合計</t>
        </is>
      </c>
      <c r="B21" s="25">
        <f>SUM(B9:B20)</f>
        <v/>
      </c>
      <c r="C21" s="25">
        <f>SUM(C9:C20)</f>
        <v/>
      </c>
      <c r="D21" s="25">
        <f>SUM(D9:D20)</f>
        <v/>
      </c>
      <c r="E21" s="25">
        <f>E20</f>
        <v/>
      </c>
    </row>
    <row r="23">
      <c r="A23" s="18" t="inlineStr">
        <is>
          <t>年間サマリ</t>
        </is>
      </c>
    </row>
    <row r="24">
      <c r="A24" s="16" t="inlineStr">
        <is>
          <t>年間貯蓄率</t>
        </is>
      </c>
      <c r="B24" s="13">
        <f>IF(B21=0,"",D21/B21)</f>
        <v/>
      </c>
    </row>
    <row r="25">
      <c r="A25" s="16" t="inlineStr">
        <is>
          <t>月平均手取り</t>
        </is>
      </c>
      <c r="B25" s="10">
        <f>B21/12</f>
        <v/>
      </c>
    </row>
    <row r="26">
      <c r="A26" s="16" t="inlineStr">
        <is>
          <t>月平均支出</t>
        </is>
      </c>
      <c r="B26" s="10">
        <f>C21/12</f>
        <v/>
      </c>
    </row>
    <row r="27">
      <c r="A27" s="16" t="inlineStr">
        <is>
          <t>月平均貯蓄</t>
        </is>
      </c>
      <c r="B27" s="10">
        <f>D21/12</f>
        <v/>
      </c>
    </row>
  </sheetData>
  <mergeCells count="1">
    <mergeCell ref="A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2026-07-11T04:09:45Z</dcterms:created>
  <dcterms:modified xsi:type="dcterms:W3CDTF">2026-07-11T04:09:45Z</dcterms:modified>
</cp:coreProperties>
</file>