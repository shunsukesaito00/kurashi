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手取り試算" sheetId="1" state="visible" r:id="rId1"/>
    <sheet name="手取り比較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color rgb="00666666"/>
      <sz val="9"/>
    </font>
    <font>
      <color rgb="00444444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E8F4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3" fontId="4" fillId="2" borderId="0" pivotButton="0" quotePrefix="0" xfId="0"/>
    <xf numFmtId="164" fontId="0" fillId="0" borderId="0" pivotButton="0" quotePrefix="0" xfId="0"/>
    <xf numFmtId="0" fontId="5" fillId="0" borderId="0" applyAlignment="1" pivotButton="0" quotePrefix="0" xfId="0">
      <alignment horizontal="center"/>
    </xf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手取り試算 — くらしの計算室（2026年版）</t>
        </is>
      </c>
    </row>
    <row r="2">
      <c r="A2" s="2" t="inlineStr">
        <is>
          <t>※概算です。健保・扶養・住民税の開始時期等は反映しません。給与明細・勤務先でご確認ください。</t>
        </is>
      </c>
    </row>
    <row r="3">
      <c r="A3" t="inlineStr">
        <is>
          <t>月収（額面・円）</t>
        </is>
      </c>
      <c r="B3" s="3" t="n">
        <v>300000</v>
      </c>
    </row>
    <row r="4">
      <c r="A4" t="inlineStr">
        <is>
          <t>年間ボーナス（円）</t>
        </is>
      </c>
      <c r="B4" s="3" t="n">
        <v>0</v>
      </c>
    </row>
    <row r="5">
      <c r="A5" s="4" t="inlineStr">
        <is>
          <t>年間額面</t>
        </is>
      </c>
      <c r="B5" s="3">
        <f>B3*12+B4</f>
        <v/>
      </c>
    </row>
    <row r="6">
      <c r="A6" s="4" t="inlineStr">
        <is>
          <t>健康保険料（月）</t>
        </is>
      </c>
      <c r="B6" s="3">
        <f>ROUND(B3*0.0495,0)</f>
        <v/>
      </c>
    </row>
    <row r="7">
      <c r="A7" s="4" t="inlineStr">
        <is>
          <t>厚生年金（月）</t>
        </is>
      </c>
      <c r="B7" s="3">
        <f>ROUND(B3*0.0915,0)</f>
        <v/>
      </c>
    </row>
    <row r="8">
      <c r="A8" s="4" t="inlineStr">
        <is>
          <t>雇用保険（月）</t>
        </is>
      </c>
      <c r="B8" s="3">
        <f>ROUND(B3*0.0055,0)</f>
        <v/>
      </c>
    </row>
    <row r="9">
      <c r="A9" s="4" t="inlineStr">
        <is>
          <t>社会保険料（年）</t>
        </is>
      </c>
      <c r="B9" s="3">
        <f>(B6+B7+B8)*12+B4*0.1465</f>
        <v/>
      </c>
    </row>
    <row r="10">
      <c r="A10" s="4" t="inlineStr">
        <is>
          <t>給与所得控除（年）</t>
        </is>
      </c>
      <c r="B10" s="3">
        <f>IF(B5&lt;=1625000,550000,IF(B5&lt;=1800000,B5*0.4-100000,IF(B5&lt;=3600000,B5*0.3+80000,IF(B5&lt;=6600000,B5*0.2+440000,IF(B5&lt;=8500000,B5*0.1+1100000,1950000)))))</f>
        <v/>
      </c>
    </row>
    <row r="11">
      <c r="A11" s="4" t="inlineStr">
        <is>
          <t>課税所得・所得税用（年）</t>
        </is>
      </c>
      <c r="B11" s="3">
        <f>MAX(0,B5-B10-B9-480000)</f>
        <v/>
      </c>
    </row>
    <row r="12">
      <c r="A12" s="4" t="inlineStr">
        <is>
          <t>所得税（年・復興含む）</t>
        </is>
      </c>
      <c r="B12" s="3">
        <f>IF(B11&lt;=0,0,IF(B11&lt;=1950000,B11*0.05,IF(B11&lt;=3300000,B11*0.1-97500,IF(B11&lt;=6950000,B11*0.2-427500,IF(B11&lt;=9000000,B11*0.23-636000,IF(B11&lt;=18000000,B11*0.33-1536000,IF(B11&lt;=40000000,B11*0.4-2796000,B11*0.45-4796000)))))))*1.021</f>
        <v/>
      </c>
    </row>
    <row r="13">
      <c r="A13" s="4" t="inlineStr">
        <is>
          <t>課税標準・住民税用（年）</t>
        </is>
      </c>
      <c r="B13" s="3">
        <f>MAX(0,B5-B10-B9-430000)</f>
        <v/>
      </c>
    </row>
    <row r="14">
      <c r="A14" s="4" t="inlineStr">
        <is>
          <t>住民税（年）</t>
        </is>
      </c>
      <c r="B14" s="3">
        <f>B13*0.1+5000</f>
        <v/>
      </c>
    </row>
    <row r="15">
      <c r="A15" s="4" t="inlineStr">
        <is>
          <t>所得税（月割）</t>
        </is>
      </c>
      <c r="B15" s="3">
        <f>IF(B5=0,0,ROUND(B12/12*(B3*12/B5),0))</f>
        <v/>
      </c>
    </row>
    <row r="16">
      <c r="A16" s="4" t="inlineStr">
        <is>
          <t>住民税（月割）</t>
        </is>
      </c>
      <c r="B16" s="3">
        <f>ROUND(B14/12,0)</f>
        <v/>
      </c>
    </row>
    <row r="17">
      <c r="A17" s="4" t="inlineStr">
        <is>
          <t>毎月の手取り</t>
        </is>
      </c>
      <c r="B17" s="5">
        <f>B3-B6-B7-B8-B15-B16</f>
        <v/>
      </c>
    </row>
    <row r="18">
      <c r="A18" s="4" t="inlineStr">
        <is>
          <t>控除合計（月）</t>
        </is>
      </c>
      <c r="B18" s="3">
        <f>B3-B17</f>
        <v/>
      </c>
    </row>
    <row r="19">
      <c r="A19" s="4" t="inlineStr">
        <is>
          <t>手取り率</t>
        </is>
      </c>
      <c r="B19" s="6">
        <f>IF(B3=0,"",B17/B3)</f>
        <v/>
      </c>
    </row>
    <row r="20">
      <c r="A20" s="4" t="inlineStr">
        <is>
          <t>年間手取り目安（簡易）</t>
        </is>
      </c>
      <c r="B20" s="3">
        <f>B17*12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手取り比較（最大3パターン）— くらしの計算室</t>
        </is>
      </c>
    </row>
    <row r="2">
      <c r="A2" s="2" t="inlineStr">
        <is>
          <t>※概算です。健保・扶養・住民税の開始時期等は反映しません。給与明細・勤務先でご確認ください。</t>
        </is>
      </c>
      <c r="B2" s="7" t="inlineStr">
        <is>
          <t>パターンA</t>
        </is>
      </c>
      <c r="C2" s="7" t="inlineStr">
        <is>
          <t>パターンB</t>
        </is>
      </c>
      <c r="D2" s="7" t="inlineStr">
        <is>
          <t>パターンC</t>
        </is>
      </c>
    </row>
    <row r="3">
      <c r="A3" t="inlineStr">
        <is>
          <t>月収（額面・円）</t>
        </is>
      </c>
      <c r="B3" s="3" t="n">
        <v>300000</v>
      </c>
      <c r="C3" s="3" t="n">
        <v>330000</v>
      </c>
      <c r="D3" s="3" t="n">
        <v>360000</v>
      </c>
    </row>
    <row r="4">
      <c r="A4" t="inlineStr">
        <is>
          <t>年間ボーナス（円）</t>
        </is>
      </c>
      <c r="B4" s="3" t="n">
        <v>0</v>
      </c>
      <c r="C4" s="3" t="n">
        <v>0</v>
      </c>
      <c r="D4" s="3" t="n">
        <v>0</v>
      </c>
    </row>
    <row r="5">
      <c r="A5" s="4" t="inlineStr">
        <is>
          <t>年間額面</t>
        </is>
      </c>
      <c r="B5" s="3">
        <f>B3*12+B4</f>
        <v/>
      </c>
      <c r="C5" s="3">
        <f>C3*12+C4</f>
        <v/>
      </c>
      <c r="D5" s="3">
        <f>D3*12+D4</f>
        <v/>
      </c>
    </row>
    <row r="6">
      <c r="A6" s="4" t="inlineStr">
        <is>
          <t>健康保険料（月）</t>
        </is>
      </c>
      <c r="B6" s="3">
        <f>ROUND(B3*0.0495,0)</f>
        <v/>
      </c>
      <c r="C6" s="3">
        <f>ROUND(C3*0.0495,0)</f>
        <v/>
      </c>
      <c r="D6" s="3">
        <f>ROUND(D3*0.0495,0)</f>
        <v/>
      </c>
    </row>
    <row r="7">
      <c r="A7" s="4" t="inlineStr">
        <is>
          <t>厚生年金（月）</t>
        </is>
      </c>
      <c r="B7" s="3">
        <f>ROUND(B3*0.0915,0)</f>
        <v/>
      </c>
      <c r="C7" s="3">
        <f>ROUND(C3*0.0915,0)</f>
        <v/>
      </c>
      <c r="D7" s="3">
        <f>ROUND(D3*0.0915,0)</f>
        <v/>
      </c>
    </row>
    <row r="8">
      <c r="A8" s="4" t="inlineStr">
        <is>
          <t>雇用保険（月）</t>
        </is>
      </c>
      <c r="B8" s="3">
        <f>ROUND(B3*0.0055,0)</f>
        <v/>
      </c>
      <c r="C8" s="3">
        <f>ROUND(C3*0.0055,0)</f>
        <v/>
      </c>
      <c r="D8" s="3">
        <f>ROUND(D3*0.0055,0)</f>
        <v/>
      </c>
    </row>
    <row r="9">
      <c r="A9" s="4" t="inlineStr">
        <is>
          <t>社会保険料（年）</t>
        </is>
      </c>
      <c r="B9" s="3">
        <f>(B6+B7+B8)*12+B4*0.1465</f>
        <v/>
      </c>
      <c r="C9" s="3">
        <f>(C6+C7+C8)*12+C4*0.1465</f>
        <v/>
      </c>
      <c r="D9" s="3">
        <f>(D6+D7+D8)*12+D4*0.1465</f>
        <v/>
      </c>
    </row>
    <row r="10">
      <c r="A10" s="4" t="inlineStr">
        <is>
          <t>給与所得控除（年）</t>
        </is>
      </c>
      <c r="B10" s="3">
        <f>IF(B5&lt;=1625000,550000,IF(B5&lt;=1800000,B5*0.4-100000,IF(B5&lt;=3600000,B5*0.3+80000,IF(B5&lt;=6600000,B5*0.2+440000,IF(B5&lt;=8500000,B5*0.1+1100000,1950000)))))</f>
        <v/>
      </c>
      <c r="C10" s="3">
        <f>IF(C5&lt;=1625000,550000,IF(C5&lt;=1800000,C5*0.4-100000,IF(C5&lt;=3600000,C5*0.3+80000,IF(C5&lt;=6600000,C5*0.2+440000,IF(C5&lt;=8500000,C5*0.1+1100000,1950000)))))</f>
        <v/>
      </c>
      <c r="D10" s="3">
        <f>IF(D5&lt;=1625000,550000,IF(D5&lt;=1800000,D5*0.4-100000,IF(D5&lt;=3600000,D5*0.3+80000,IF(D5&lt;=6600000,D5*0.2+440000,IF(D5&lt;=8500000,D5*0.1+1100000,1950000)))))</f>
        <v/>
      </c>
    </row>
    <row r="11">
      <c r="A11" s="4" t="inlineStr">
        <is>
          <t>課税所得・所得税用（年）</t>
        </is>
      </c>
      <c r="B11" s="3">
        <f>MAX(0,B5-B10-B9-480000)</f>
        <v/>
      </c>
      <c r="C11" s="3">
        <f>MAX(0,C5-C10-C9-480000)</f>
        <v/>
      </c>
      <c r="D11" s="3">
        <f>MAX(0,D5-D10-D9-480000)</f>
        <v/>
      </c>
    </row>
    <row r="12">
      <c r="A12" s="4" t="inlineStr">
        <is>
          <t>所得税（年・復興含む）</t>
        </is>
      </c>
      <c r="B12" s="3">
        <f>IF(B11&lt;=0,0,IF(B11&lt;=1950000,B11*0.05,IF(B11&lt;=3300000,B11*0.1-97500,IF(B11&lt;=6950000,B11*0.2-427500,IF(B11&lt;=9000000,B11*0.23-636000,IF(B11&lt;=18000000,B11*0.33-1536000,IF(B11&lt;=40000000,B11*0.4-2796000,B11*0.45-4796000)))))))*1.021</f>
        <v/>
      </c>
      <c r="C12" s="3">
        <f>IF(C11&lt;=0,0,IF(C11&lt;=1950000,C11*0.05,IF(C11&lt;=3300000,C11*0.1-97500,IF(C11&lt;=6950000,C11*0.2-427500,IF(C11&lt;=9000000,C11*0.23-636000,IF(C11&lt;=18000000,C11*0.33-1536000,IF(C11&lt;=40000000,C11*0.4-2796000,C11*0.45-4796000)))))))*1.021</f>
        <v/>
      </c>
      <c r="D12" s="3">
        <f>IF(D11&lt;=0,0,IF(D11&lt;=1950000,D11*0.05,IF(D11&lt;=3300000,D11*0.1-97500,IF(D11&lt;=6950000,D11*0.2-427500,IF(D11&lt;=9000000,D11*0.23-636000,IF(D11&lt;=18000000,D11*0.33-1536000,IF(D11&lt;=40000000,D11*0.4-2796000,D11*0.45-4796000)))))))*1.021</f>
        <v/>
      </c>
    </row>
    <row r="13">
      <c r="A13" s="4" t="inlineStr">
        <is>
          <t>課税標準・住民税用（年）</t>
        </is>
      </c>
      <c r="B13" s="3">
        <f>MAX(0,B5-B10-B9-430000)</f>
        <v/>
      </c>
      <c r="C13" s="3">
        <f>MAX(0,C5-C10-C9-430000)</f>
        <v/>
      </c>
      <c r="D13" s="3">
        <f>MAX(0,D5-D10-D9-430000)</f>
        <v/>
      </c>
    </row>
    <row r="14">
      <c r="A14" s="4" t="inlineStr">
        <is>
          <t>住民税（年）</t>
        </is>
      </c>
      <c r="B14" s="3">
        <f>B13*0.1+5000</f>
        <v/>
      </c>
      <c r="C14" s="3">
        <f>C13*0.1+5000</f>
        <v/>
      </c>
      <c r="D14" s="3">
        <f>D13*0.1+5000</f>
        <v/>
      </c>
    </row>
    <row r="15">
      <c r="A15" s="4" t="inlineStr">
        <is>
          <t>所得税（月割）</t>
        </is>
      </c>
      <c r="B15" s="3">
        <f>IF(B5=0,0,ROUND(B12/12*(B3*12/B5),0))</f>
        <v/>
      </c>
      <c r="C15" s="3">
        <f>IF(C5=0,0,ROUND(C12/12*(C3*12/C5),0))</f>
        <v/>
      </c>
      <c r="D15" s="3">
        <f>IF(D5=0,0,ROUND(D12/12*(D3*12/D5),0))</f>
        <v/>
      </c>
    </row>
    <row r="16">
      <c r="A16" s="4" t="inlineStr">
        <is>
          <t>住民税（月割）</t>
        </is>
      </c>
      <c r="B16" s="3">
        <f>ROUND(B14/12,0)</f>
        <v/>
      </c>
      <c r="C16" s="3">
        <f>ROUND(C14/12,0)</f>
        <v/>
      </c>
      <c r="D16" s="3">
        <f>ROUND(D14/12,0)</f>
        <v/>
      </c>
    </row>
    <row r="17">
      <c r="A17" t="inlineStr">
        <is>
          <t>毎月の手取り</t>
        </is>
      </c>
      <c r="B17" s="8">
        <f>B3-B6-B7-B8-B15-B16</f>
        <v/>
      </c>
      <c r="C17" s="8">
        <f>C3-C6-C7-C8-C15-C16</f>
        <v/>
      </c>
      <c r="D17" s="8">
        <f>D3-D6-D7-D8-D15-D16</f>
        <v/>
      </c>
    </row>
    <row r="18">
      <c r="A18" t="inlineStr">
        <is>
          <t>手取り率</t>
        </is>
      </c>
      <c r="B18" s="6">
        <f>IF(B3=0,"",B17/B3)</f>
        <v/>
      </c>
      <c r="C18" s="6">
        <f>IF(C3=0,"",C17/C3)</f>
        <v/>
      </c>
      <c r="D18" s="6">
        <f>IF(D3=0,"",D17/D3)</f>
        <v/>
      </c>
    </row>
    <row r="19">
      <c r="A19" t="inlineStr">
        <is>
          <t>Aとの手取り差（月）</t>
        </is>
      </c>
      <c r="B19" t="inlineStr">
        <is>
          <t>—</t>
        </is>
      </c>
      <c r="C19" s="3">
        <f>$C$17-$B$17</f>
        <v/>
      </c>
      <c r="D19" s="3">
        <f>$D$17-$B$17</f>
        <v/>
      </c>
    </row>
    <row r="20">
      <c r="A20" t="inlineStr">
        <is>
          <t>Aとの手取り差（年）</t>
        </is>
      </c>
      <c r="B20" s="3" t="inlineStr">
        <is>
          <t>—</t>
        </is>
      </c>
      <c r="C20" s="3">
        <f>C19*12</f>
        <v/>
      </c>
      <c r="D20" s="3">
        <f>D19*12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2026-07-11T03:05:42Z</dcterms:created>
  <dcterms:modified xsi:type="dcterms:W3CDTF">2026-07-11T03:05:42Z</dcterms:modified>
</cp:coreProperties>
</file>